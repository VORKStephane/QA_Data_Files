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v\files\QA-Documents\"/>
    </mc:Choice>
  </mc:AlternateContent>
  <xr:revisionPtr revIDLastSave="0" documentId="13_ncr:1_{D1E4430B-5C63-4CBD-88A7-ACF9BFC95BB7}" xr6:coauthVersionLast="47" xr6:coauthVersionMax="47" xr10:uidLastSave="{00000000-0000-0000-0000-000000000000}"/>
  <bookViews>
    <workbookView xWindow="-28920" yWindow="-1680" windowWidth="29040" windowHeight="15720" xr2:uid="{F4F96F24-FF1A-409E-B1B0-3323E75F5FA5}"/>
  </bookViews>
  <sheets>
    <sheet name="Requirement Summary" sheetId="1" r:id="rId1"/>
    <sheet name="Testing Estimations" sheetId="2" r:id="rId2"/>
  </sheets>
  <definedNames>
    <definedName name="TestsEstimates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I4" i="2"/>
  <c r="J4" i="2" s="1"/>
  <c r="K4" i="2" l="1"/>
  <c r="H3" i="1" s="1"/>
</calcChain>
</file>

<file path=xl/sharedStrings.xml><?xml version="1.0" encoding="utf-8"?>
<sst xmlns="http://schemas.openxmlformats.org/spreadsheetml/2006/main" count="31" uniqueCount="30">
  <si>
    <t>Description</t>
  </si>
  <si>
    <t>Requirement Identifier</t>
  </si>
  <si>
    <t>Test Case</t>
  </si>
  <si>
    <t>Optimistic</t>
  </si>
  <si>
    <t>Most-Likely</t>
  </si>
  <si>
    <t>Pessimistic</t>
  </si>
  <si>
    <t>Test Identifier</t>
  </si>
  <si>
    <t>Low-level required ?</t>
  </si>
  <si>
    <t>Average</t>
  </si>
  <si>
    <t>Buffer</t>
  </si>
  <si>
    <t>Total</t>
  </si>
  <si>
    <t>Tests</t>
  </si>
  <si>
    <t>Requirements</t>
  </si>
  <si>
    <t>Complexity</t>
  </si>
  <si>
    <t>Estimation</t>
  </si>
  <si>
    <t>Calculations</t>
  </si>
  <si>
    <t>Requirement</t>
  </si>
  <si>
    <t>Testing coverage</t>
  </si>
  <si>
    <t>Estimated time</t>
  </si>
  <si>
    <t>Estimated variations</t>
  </si>
  <si>
    <t>Requirement Description</t>
  </si>
  <si>
    <t>Acceptance criteria</t>
  </si>
  <si>
    <t>Requirement stability</t>
  </si>
  <si>
    <t>Dependencies</t>
  </si>
  <si>
    <t>Other Requirement</t>
  </si>
  <si>
    <t>Specific Data</t>
  </si>
  <si>
    <t>Test Basis Quality</t>
  </si>
  <si>
    <t>Testing</t>
  </si>
  <si>
    <t>Associated Release</t>
  </si>
  <si>
    <t>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</si>
</sst>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/>
    <xf numFmtId="1" fontId="0" fillId="0" borderId="0" xfId="0" applyNumberFormat="1"/>
    <xf numFmtId="0" fontId="2" fillId="2" borderId="1" xfId="1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Accent1" xfId="1" builtinId="29"/>
    <cellStyle name="Normal" xfId="0" builtinId="0"/>
  </cellStyles>
  <dxfs count="9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</dxf>
    <dxf>
      <numFmt numFmtId="2" formatCode="0.00"/>
    </dxf>
    <dxf>
      <numFmt numFmtId="1" formatCode="0"/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DEDCF-7001-4CA6-84DB-D550AA2E2C4C}" name="Table2" displayName="Table2" ref="A2:I3" totalsRowShown="0">
  <autoFilter ref="A2:I3" xr:uid="{BB8DEDCF-7001-4CA6-84DB-D550AA2E2C4C}"/>
  <tableColumns count="9">
    <tableColumn id="1" xr3:uid="{8DBC2585-132B-4F7A-90E8-A42908DEEF4E}" name="Requirement Identifier"/>
    <tableColumn id="2" xr3:uid="{2C939F12-9C5E-4BE4-A0D3-2036885397F1}" name="Requirement Description"/>
    <tableColumn id="5" xr3:uid="{B73DC889-71BA-41E0-B3FF-F962ABE2148E}" name="Requirement stability" dataDxfId="3"/>
    <tableColumn id="6" xr3:uid="{0BBCE0B5-78DB-4791-89F0-262C1466B7D0}" name="Acceptance criteria" dataDxfId="2"/>
    <tableColumn id="7" xr3:uid="{BE88DC26-C86F-48D3-BBB6-D56878668311}" name="Other Requirement" dataDxfId="1"/>
    <tableColumn id="8" xr3:uid="{AFF8762A-C54F-47C5-A5AC-E81DB537CB81}" name="Specific Data" dataDxfId="0"/>
    <tableColumn id="3" xr3:uid="{992E3284-949F-4316-8080-621C091C8598}" name="Testing coverage">
      <calculatedColumnFormula>COUNTIFS(Table1[Requirement Identifier],Table2[[#This Row],[Requirement Identifier]])</calculatedColumnFormula>
    </tableColumn>
    <tableColumn id="4" xr3:uid="{77E8D556-1955-4A6A-B37D-45716058D155}" name="Estimated time">
      <calculatedColumnFormula>SUMIFS(Table1[Total],Table1[Requirement Identifier],Table2[[#This Row],[Requirement Identifier]])</calculatedColumnFormula>
    </tableColumn>
    <tableColumn id="9" xr3:uid="{90E01ACF-5DB2-43E0-80F5-5250BB80D986}" name="Associated Rele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E6EEC-C516-4E4E-90D8-86B0CCC24E41}" name="Table1" displayName="Table1" ref="A3:K4" totalsRowShown="0">
  <autoFilter ref="A3:K4" xr:uid="{9CAE6EEC-C516-4E4E-90D8-86B0CCC24E41}"/>
  <tableColumns count="11">
    <tableColumn id="1" xr3:uid="{B4E4ECAE-180F-48B4-91F3-E2E35B8AB136}" name="Requirement Identifier"/>
    <tableColumn id="6" xr3:uid="{D798A893-6863-435A-B0C4-0C4EF5BB7943}" name="Test Identifier"/>
    <tableColumn id="2" xr3:uid="{7BCF32A6-D50A-4DE6-81B7-59D1497F681F}" name="Test Case"/>
    <tableColumn id="8" xr3:uid="{986880E7-8369-45A3-9817-35F6947D28D3}" name="Low-level required ?" dataDxfId="8"/>
    <tableColumn id="11" xr3:uid="{073C6A46-4989-4818-A9BB-149C50E10D21}" name="Estimated variations" dataDxfId="4"/>
    <tableColumn id="3" xr3:uid="{F2946933-F203-472F-B477-245275128CCA}" name="Optimistic"/>
    <tableColumn id="4" xr3:uid="{C3915407-3B06-4F96-B552-75C561365CB1}" name="Most-Likely"/>
    <tableColumn id="5" xr3:uid="{BFEB0D6C-4531-469C-8A90-A71D065B0655}" name="Pessimistic"/>
    <tableColumn id="7" xr3:uid="{A6A514B6-43E5-402D-B541-42449E7C1C1E}" name="Average" dataDxfId="7">
      <calculatedColumnFormula>_xlfn.CEILING.MATH((Table1[[#This Row],[Optimistic]]+Table1[[#This Row],[Pessimistic]]+4*Table1[[#This Row],[Most-Likely]])/6)</calculatedColumnFormula>
    </tableColumn>
    <tableColumn id="9" xr3:uid="{897C4498-CCAA-49D5-86EF-B6A5765283CB}" name="Buffer" dataDxfId="6">
      <calculatedColumnFormula>Table1[[#This Row],[Average]]*(0.15+IF(Table1[[#This Row],[Low-level required ?]]=TRUE,0.1,0))</calculatedColumnFormula>
    </tableColumn>
    <tableColumn id="10" xr3:uid="{A1C78E0C-C4CA-4642-8E1E-84B248A5FC59}" name="Total" dataDxfId="5">
      <calculatedColumnFormula>SUM(Table1[[#This Row],[Average]],Table1[[#This Row],[Buffer]])</calculatedColumnFormula>
    </tableColumn>
  </tableColumns>
  <tableStyleInfo name="TableStyleMedium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3673-D819-47B8-AF58-16C4391140E2}">
  <dimension ref="A1:I3"/>
  <sheetViews>
    <sheetView tabSelected="1" workbookViewId="0">
      <selection activeCell="I3" sqref="I3"/>
    </sheetView>
  </sheetViews>
  <sheetFormatPr defaultRowHeight="15" x14ac:dyDescent="0.25"/>
  <cols>
    <col min="1" max="1" width="24.42578125" bestFit="1" customWidth="1"/>
    <col min="2" max="2" width="74.42578125" customWidth="1"/>
    <col min="3" max="3" width="23.140625" bestFit="1" customWidth="1"/>
    <col min="4" max="4" width="20.85546875" bestFit="1" customWidth="1"/>
    <col min="5" max="5" width="21" bestFit="1" customWidth="1"/>
    <col min="6" max="6" width="15.140625" bestFit="1" customWidth="1"/>
    <col min="7" max="7" width="18.5703125" bestFit="1" customWidth="1"/>
    <col min="8" max="8" width="17.140625" bestFit="1" customWidth="1"/>
    <col min="9" max="9" width="21.140625" bestFit="1" customWidth="1"/>
  </cols>
  <sheetData>
    <row r="1" spans="1:9" s="9" customFormat="1" ht="24" x14ac:dyDescent="0.25">
      <c r="A1" s="4" t="s">
        <v>16</v>
      </c>
      <c r="B1" s="4"/>
      <c r="C1" s="4" t="s">
        <v>26</v>
      </c>
      <c r="D1" s="4"/>
      <c r="E1" s="4" t="s">
        <v>23</v>
      </c>
      <c r="F1" s="4"/>
      <c r="G1" s="4" t="s">
        <v>27</v>
      </c>
      <c r="H1" s="4"/>
      <c r="I1" s="8" t="s">
        <v>29</v>
      </c>
    </row>
    <row r="2" spans="1:9" x14ac:dyDescent="0.25">
      <c r="A2" t="s">
        <v>1</v>
      </c>
      <c r="B2" t="s">
        <v>20</v>
      </c>
      <c r="C2" t="s">
        <v>22</v>
      </c>
      <c r="D2" t="s">
        <v>21</v>
      </c>
      <c r="E2" t="s">
        <v>24</v>
      </c>
      <c r="F2" t="s">
        <v>25</v>
      </c>
      <c r="G2" t="s">
        <v>17</v>
      </c>
      <c r="H2" t="s">
        <v>18</v>
      </c>
      <c r="I2" t="s">
        <v>28</v>
      </c>
    </row>
    <row r="3" spans="1:9" x14ac:dyDescent="0.25">
      <c r="C3" s="1" t="b">
        <v>0</v>
      </c>
      <c r="D3" s="1" t="b">
        <v>0</v>
      </c>
      <c r="G3">
        <f>COUNTIFS(Table1[Requirement Identifier],Table2[[#This Row],[Requirement Identifier]])</f>
        <v>0</v>
      </c>
      <c r="H3">
        <f>SUMIFS(Table1[Total],Table1[Requirement Identifier],Table2[[#This Row],[Requirement Identifier]])</f>
        <v>0</v>
      </c>
    </row>
  </sheetData>
  <mergeCells count="4">
    <mergeCell ref="A1:B1"/>
    <mergeCell ref="C1:D1"/>
    <mergeCell ref="E1:F1"/>
    <mergeCell ref="G1:H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F175-340A-4EBB-98C0-83AE18153C15}">
  <dimension ref="A1:K4"/>
  <sheetViews>
    <sheetView workbookViewId="0">
      <selection activeCell="H4" sqref="H4"/>
    </sheetView>
  </sheetViews>
  <sheetFormatPr defaultRowHeight="15" x14ac:dyDescent="0.25"/>
  <cols>
    <col min="1" max="1" width="24.42578125" bestFit="1" customWidth="1"/>
    <col min="2" max="2" width="16.140625" bestFit="1" customWidth="1"/>
    <col min="3" max="3" width="56.28515625" customWidth="1"/>
    <col min="4" max="4" width="21.85546875" bestFit="1" customWidth="1"/>
    <col min="5" max="5" width="22" bestFit="1" customWidth="1"/>
    <col min="6" max="7" width="13.7109375" bestFit="1" customWidth="1"/>
    <col min="8" max="8" width="21.85546875" bestFit="1" customWidth="1"/>
    <col min="9" max="9" width="10.42578125" bestFit="1" customWidth="1"/>
    <col min="11" max="11" width="9.5703125" bestFit="1" customWidth="1"/>
  </cols>
  <sheetData>
    <row r="1" spans="1:11" ht="24" x14ac:dyDescent="0.25">
      <c r="A1" s="4" t="s">
        <v>12</v>
      </c>
      <c r="B1" s="4" t="s">
        <v>11</v>
      </c>
      <c r="C1" s="4"/>
      <c r="D1" s="4"/>
      <c r="E1" s="4"/>
      <c r="F1" s="4"/>
      <c r="G1" s="4"/>
      <c r="H1" s="4"/>
      <c r="I1" s="4"/>
      <c r="J1" s="4"/>
      <c r="K1" s="4"/>
    </row>
    <row r="2" spans="1:11" ht="27" customHeight="1" x14ac:dyDescent="0.25">
      <c r="A2" s="4"/>
      <c r="B2" s="5" t="s">
        <v>0</v>
      </c>
      <c r="C2" s="5"/>
      <c r="D2" s="6" t="s">
        <v>13</v>
      </c>
      <c r="E2" s="7"/>
      <c r="F2" s="5" t="s">
        <v>14</v>
      </c>
      <c r="G2" s="5"/>
      <c r="H2" s="5"/>
      <c r="I2" s="5" t="s">
        <v>15</v>
      </c>
      <c r="J2" s="5"/>
      <c r="K2" s="5"/>
    </row>
    <row r="3" spans="1:11" x14ac:dyDescent="0.25">
      <c r="A3" t="s">
        <v>1</v>
      </c>
      <c r="B3" t="s">
        <v>6</v>
      </c>
      <c r="C3" t="s">
        <v>2</v>
      </c>
      <c r="D3" t="s">
        <v>7</v>
      </c>
      <c r="E3" t="s">
        <v>19</v>
      </c>
      <c r="F3" t="s">
        <v>3</v>
      </c>
      <c r="G3" t="s">
        <v>4</v>
      </c>
      <c r="H3" t="s">
        <v>5</v>
      </c>
      <c r="I3" t="s">
        <v>8</v>
      </c>
      <c r="J3" t="s">
        <v>9</v>
      </c>
      <c r="K3" t="s">
        <v>10</v>
      </c>
    </row>
    <row r="4" spans="1:11" x14ac:dyDescent="0.25">
      <c r="D4" s="1" t="b">
        <v>0</v>
      </c>
      <c r="I4" s="3">
        <f>_xlfn.CEILING.MATH((Table1[[#This Row],[Optimistic]]+Table1[[#This Row],[Pessimistic]]+4*Table1[[#This Row],[Most-Likely]])/6)</f>
        <v>0</v>
      </c>
      <c r="J4" s="2">
        <f>Table1[[#This Row],[Average]]*(0.15+IF(Table1[[#This Row],[Low-level required ?]]=TRUE,0.1,0))</f>
        <v>0</v>
      </c>
      <c r="K4" s="2">
        <f>SUM(Table1[[#This Row],[Average]],Table1[[#This Row],[Buffer]])</f>
        <v>0</v>
      </c>
    </row>
  </sheetData>
  <mergeCells count="6">
    <mergeCell ref="B1:K1"/>
    <mergeCell ref="B2:C2"/>
    <mergeCell ref="A1:A2"/>
    <mergeCell ref="F2:H2"/>
    <mergeCell ref="I2:K2"/>
    <mergeCell ref="D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Requirement Summary</vt:lpstr>
      <vt:lpstr>Testing Estimations</vt:lpstr>
      <vt:lpstr>TestsEstimates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Vork</dc:creator>
  <cp:lastModifiedBy>Stéphane Vork</cp:lastModifiedBy>
  <dcterms:created xsi:type="dcterms:W3CDTF">2026-01-28T19:18:56Z</dcterms:created>
  <dcterms:modified xsi:type="dcterms:W3CDTF">2026-01-28T21:13:59Z</dcterms:modified>
</cp:coreProperties>
</file>